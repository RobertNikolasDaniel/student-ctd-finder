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3C097207-4941-4F97-B5B8-6C352FED50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-ctd-fi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F16" i="1"/>
  <c r="G16" i="1"/>
  <c r="F15" i="1"/>
  <c r="E15" i="1"/>
  <c r="G15" i="1" s="1"/>
  <c r="F14" i="1"/>
  <c r="E14" i="1"/>
  <c r="G14" i="1" s="1"/>
  <c r="F13" i="1"/>
  <c r="E13" i="1"/>
  <c r="G13" i="1" s="1"/>
  <c r="F12" i="1"/>
  <c r="E12" i="1"/>
  <c r="G12" i="1" s="1"/>
  <c r="F11" i="1"/>
  <c r="E11" i="1"/>
  <c r="G11" i="1" s="1"/>
  <c r="F10" i="1"/>
  <c r="E10" i="1"/>
  <c r="G10" i="1" s="1"/>
  <c r="F9" i="1"/>
  <c r="E9" i="1"/>
  <c r="G9" i="1" s="1"/>
  <c r="K6" i="1" l="1"/>
  <c r="K5" i="1"/>
</calcChain>
</file>

<file path=xl/sharedStrings.xml><?xml version="1.0" encoding="utf-8"?>
<sst xmlns="http://schemas.openxmlformats.org/spreadsheetml/2006/main" count="31" uniqueCount="26">
  <si>
    <t>student-ctd-finder</t>
  </si>
  <si>
    <t>futures inputs</t>
  </si>
  <si>
    <t>ctd identified</t>
  </si>
  <si>
    <t>futures price</t>
  </si>
  <si>
    <t>days to delivery</t>
  </si>
  <si>
    <t>cusip</t>
  </si>
  <si>
    <t>OUTPUT</t>
  </si>
  <si>
    <t>(CTDpoints)</t>
  </si>
  <si>
    <t>lowest net basis</t>
  </si>
  <si>
    <t>SOFR</t>
  </si>
  <si>
    <t>clean price</t>
  </si>
  <si>
    <t>cf</t>
  </si>
  <si>
    <t>repo</t>
  </si>
  <si>
    <t>invoice price</t>
  </si>
  <si>
    <t>financing</t>
  </si>
  <si>
    <t>net basis</t>
  </si>
  <si>
    <t>why</t>
  </si>
  <si>
    <t>lowest delivery cost after</t>
  </si>
  <si>
    <t>A</t>
  </si>
  <si>
    <t>conversion + financing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</si>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</sst>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1"/>
      <color rgb="FFFF0000"/>
      <name val="Calibri"/>
      <scheme val="minor"/>
    </font>
    <font>
      <sz val="11"/>
      <color rgb="FFC0504D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pane ySplit="8" topLeftCell="A9" activePane="bottomLeft" state="frozen"/>
      <selection pane="bottomLeft" activeCell="C16" sqref="C16"/>
    </sheetView>
  </sheetViews>
  <sheetFormatPr defaultRowHeight="15"/>
  <cols>
    <col min="1" max="1" width="30.5703125" customWidth="1"/>
    <col min="2" max="2" width="14" customWidth="1"/>
    <col min="3" max="4" width="10" customWidth="1"/>
    <col min="5" max="5" width="16" customWidth="1"/>
    <col min="6" max="7" width="14" customWidth="1"/>
    <col min="8" max="8" width="8.42578125" customWidth="1"/>
    <col min="9" max="9" width="11.28515625" customWidth="1"/>
    <col min="10" max="10" width="18" customWidth="1"/>
    <col min="11" max="11" width="22" customWidth="1"/>
  </cols>
  <sheetData>
    <row r="1" spans="1:12" ht="36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>
      <c r="A3" s="3" t="s">
        <v>1</v>
      </c>
      <c r="B3" s="2"/>
      <c r="C3" s="2"/>
      <c r="D3" s="2"/>
      <c r="E3" s="2"/>
      <c r="F3" s="2"/>
      <c r="G3" s="2"/>
      <c r="H3" s="2"/>
      <c r="I3" s="2"/>
      <c r="J3" s="3" t="s">
        <v>2</v>
      </c>
      <c r="K3" s="2"/>
    </row>
    <row r="4" spans="1:12">
      <c r="A4" s="2" t="s">
        <v>3</v>
      </c>
      <c r="B4" s="2">
        <v>107.875</v>
      </c>
      <c r="C4" s="2"/>
      <c r="D4" s="2"/>
      <c r="E4" s="2"/>
      <c r="F4" s="2"/>
      <c r="G4" s="2"/>
      <c r="H4" s="2"/>
      <c r="I4" s="2"/>
      <c r="J4" s="2"/>
      <c r="K4" s="2"/>
    </row>
    <row r="5" spans="1:12">
      <c r="A5" s="2" t="s">
        <v>4</v>
      </c>
      <c r="B5" s="2">
        <v>38</v>
      </c>
      <c r="C5" s="2"/>
      <c r="D5" s="2"/>
      <c r="E5" s="2"/>
      <c r="F5" s="2"/>
      <c r="G5" s="2"/>
      <c r="H5" s="2"/>
      <c r="I5" s="2"/>
      <c r="J5" s="2" t="s">
        <v>5</v>
      </c>
      <c r="K5" s="9" t="str">
        <f>INDEX(A9:A28,MATCH(MIN(G9:G28),G9:G28,0))</f>
        <v>D</v>
      </c>
      <c r="L5" t="s">
        <v>6</v>
      </c>
    </row>
    <row r="6" spans="1:12">
      <c r="A6" s="2"/>
      <c r="B6" s="2"/>
      <c r="C6" s="2"/>
      <c r="D6" s="2"/>
      <c r="E6" s="2"/>
      <c r="F6" s="2"/>
      <c r="G6" s="2"/>
      <c r="H6" s="2"/>
      <c r="I6" s="6" t="s">
        <v>7</v>
      </c>
      <c r="J6" s="2" t="s">
        <v>8</v>
      </c>
      <c r="K6" s="9">
        <f>MIN(G9:G28)</f>
        <v>6.5187784722222197</v>
      </c>
      <c r="L6" t="s">
        <v>6</v>
      </c>
    </row>
    <row r="7" spans="1:12">
      <c r="A7" s="2"/>
      <c r="B7" s="2"/>
      <c r="C7" s="2"/>
      <c r="D7" s="5" t="s">
        <v>9</v>
      </c>
      <c r="E7" s="2" t="s">
        <v>6</v>
      </c>
      <c r="F7" s="2" t="s">
        <v>6</v>
      </c>
      <c r="G7" s="2" t="s">
        <v>6</v>
      </c>
      <c r="H7" s="2"/>
      <c r="I7" s="2"/>
      <c r="J7" s="2"/>
      <c r="K7" s="2"/>
    </row>
    <row r="8" spans="1:12">
      <c r="A8" s="4" t="s">
        <v>5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2"/>
      <c r="I8" s="2"/>
      <c r="J8" s="2" t="s">
        <v>16</v>
      </c>
      <c r="K8" s="7" t="s">
        <v>17</v>
      </c>
    </row>
    <row r="9" spans="1:12">
      <c r="A9" s="8" t="s">
        <v>18</v>
      </c>
      <c r="B9" s="8">
        <v>99.42</v>
      </c>
      <c r="C9" s="8">
        <v>0.84599999999999997</v>
      </c>
      <c r="D9" s="8">
        <v>4.7500000000000001E-2</v>
      </c>
      <c r="E9" s="2">
        <f>IF(A9="","",$B$4*C9)</f>
        <v>91.262249999999995</v>
      </c>
      <c r="F9" s="2">
        <f>IF(A9="","",B9*D9*$B$5/360)</f>
        <v>0.49848083333333337</v>
      </c>
      <c r="G9" s="2">
        <f>IF(A9="","",B9-E9+F9)</f>
        <v>8.6562308333333409</v>
      </c>
      <c r="H9" s="2"/>
      <c r="I9" s="2"/>
      <c r="J9" s="2"/>
      <c r="K9" s="7" t="s">
        <v>19</v>
      </c>
    </row>
    <row r="10" spans="1:12">
      <c r="A10" s="8" t="s">
        <v>20</v>
      </c>
      <c r="B10" s="8">
        <v>100.18</v>
      </c>
      <c r="C10" s="8">
        <v>0.85699999999999998</v>
      </c>
      <c r="D10" s="8">
        <v>4.7500000000000001E-2</v>
      </c>
      <c r="E10" s="2">
        <f>IF(A10="","",$B$4*C10)</f>
        <v>92.448875000000001</v>
      </c>
      <c r="F10" s="2">
        <f>IF(A10="","",B10*D10*$B$5/360)</f>
        <v>0.50229138888888891</v>
      </c>
      <c r="G10" s="2">
        <f>IF(A10="","",B10-E10+F10)</f>
        <v>8.2334163888888945</v>
      </c>
      <c r="H10" s="2"/>
      <c r="I10" s="2"/>
      <c r="J10" s="2"/>
      <c r="K10" s="2"/>
    </row>
    <row r="11" spans="1:12">
      <c r="A11" s="8" t="s">
        <v>21</v>
      </c>
      <c r="B11" s="8">
        <v>98.64</v>
      </c>
      <c r="C11" s="8">
        <v>0.82399999999999995</v>
      </c>
      <c r="D11" s="8">
        <v>4.7500000000000001E-2</v>
      </c>
      <c r="E11" s="2">
        <f>IF(A11="","",$B$4*C11)</f>
        <v>88.888999999999996</v>
      </c>
      <c r="F11" s="2">
        <f>IF(A11="","",B11*D11*$B$5/360)</f>
        <v>0.49457000000000007</v>
      </c>
      <c r="G11" s="2">
        <f>IF(A11="","",B11-E11+F11)</f>
        <v>10.245570000000004</v>
      </c>
      <c r="H11" s="2"/>
      <c r="I11" s="2"/>
      <c r="J11" s="2"/>
      <c r="K11" s="2"/>
    </row>
    <row r="12" spans="1:12">
      <c r="A12" s="8" t="s">
        <v>22</v>
      </c>
      <c r="B12" s="8">
        <v>101.05</v>
      </c>
      <c r="C12" s="8">
        <v>0.88100000000000001</v>
      </c>
      <c r="D12" s="8">
        <v>4.7500000000000001E-2</v>
      </c>
      <c r="E12" s="2">
        <f>IF(A12="","",$B$4*C12)</f>
        <v>95.037875</v>
      </c>
      <c r="F12" s="2">
        <f>IF(A12="","",B12*D12*$B$5/360)</f>
        <v>0.50665347222222223</v>
      </c>
      <c r="G12" s="2">
        <f>IF(A12="","",B12-E12+F12)</f>
        <v>6.5187784722222197</v>
      </c>
      <c r="H12" s="2"/>
      <c r="I12" s="2"/>
      <c r="J12" s="2"/>
      <c r="K12" s="2"/>
    </row>
    <row r="13" spans="1:12">
      <c r="A13" s="8" t="s">
        <v>23</v>
      </c>
      <c r="B13" s="8">
        <v>97.88</v>
      </c>
      <c r="C13" s="8">
        <v>0.79800000000000004</v>
      </c>
      <c r="D13" s="8">
        <v>4.7500000000000001E-2</v>
      </c>
      <c r="E13" s="2">
        <f>IF(A13="","",$B$4*C13)</f>
        <v>86.084250000000011</v>
      </c>
      <c r="F13" s="2">
        <f>IF(A13="","",B13*D13*$B$5/360)</f>
        <v>0.49075944444444447</v>
      </c>
      <c r="G13" s="2">
        <f>IF(A13="","",B13-E13+F13)</f>
        <v>12.286509444444428</v>
      </c>
      <c r="H13" s="2"/>
      <c r="I13" s="2"/>
      <c r="J13" s="2"/>
      <c r="K13" s="2"/>
    </row>
    <row r="14" spans="1:12">
      <c r="A14" s="8" t="s">
        <v>24</v>
      </c>
      <c r="B14" s="8">
        <v>99.91</v>
      </c>
      <c r="C14" s="8">
        <v>0.85199999999999998</v>
      </c>
      <c r="D14" s="8">
        <v>4.7500000000000001E-2</v>
      </c>
      <c r="E14" s="2">
        <f>IF(A14="","",$B$4*C14)</f>
        <v>91.909499999999994</v>
      </c>
      <c r="F14" s="2">
        <f>IF(A14="","",B14*D14*$B$5/360)</f>
        <v>0.50093763888888898</v>
      </c>
      <c r="G14" s="2">
        <f>IF(A14="","",B14-E14+F14)</f>
        <v>8.5014376388888913</v>
      </c>
      <c r="H14" s="2"/>
      <c r="I14" s="2"/>
      <c r="J14" s="2"/>
      <c r="K14" s="2"/>
    </row>
    <row r="15" spans="1:12">
      <c r="A15" s="8" t="s">
        <v>25</v>
      </c>
      <c r="B15" s="8">
        <v>96.95</v>
      </c>
      <c r="C15" s="8">
        <v>0.78100000000000003</v>
      </c>
      <c r="D15" s="8">
        <v>4.7500000000000001E-2</v>
      </c>
      <c r="E15" s="2">
        <f>IF(A15="","",$B$4*C15)</f>
        <v>84.250375000000005</v>
      </c>
      <c r="F15" s="2">
        <f>IF(A15="","",B15*D15*$B$5/360)</f>
        <v>0.48609652777777779</v>
      </c>
      <c r="G15" s="2">
        <f>IF(A15="","",B15-E15+F15)</f>
        <v>13.185721527777776</v>
      </c>
      <c r="H15" s="2"/>
      <c r="I15" s="2"/>
      <c r="J15" s="2"/>
      <c r="K15" s="2"/>
    </row>
    <row r="16" spans="1:12">
      <c r="A16" s="2"/>
      <c r="B16" s="2"/>
      <c r="C16" s="2"/>
      <c r="D16" s="2"/>
      <c r="E16" s="2" t="str">
        <f>IF(A16="","",$B$4*C16)</f>
        <v/>
      </c>
      <c r="F16" s="2" t="str">
        <f>IF(A16="","",B16*D16*$B$5/360)</f>
        <v/>
      </c>
      <c r="G16" s="2" t="str">
        <f>IF(A16="","",B16-E16+F16)</f>
        <v/>
      </c>
      <c r="H16" s="2"/>
      <c r="I16" s="2"/>
      <c r="J16" s="2"/>
      <c r="K16" s="2"/>
    </row>
    <row r="17" spans="1:11">
      <c r="A17" s="2"/>
      <c r="B17" s="2"/>
      <c r="C17" s="2"/>
      <c r="D17" s="2"/>
      <c r="E17" s="2" t="str">
        <f>IF(A17="","",$B$4*C17)</f>
        <v/>
      </c>
      <c r="F17" s="2" t="str">
        <f>IF(A17="","",B17*D17*$B$5/360)</f>
        <v/>
      </c>
      <c r="G17" s="2" t="str">
        <f>IF(A17="","",B17-E17+F17)</f>
        <v/>
      </c>
      <c r="H17" s="2"/>
      <c r="I17" s="2"/>
      <c r="J17" s="2"/>
      <c r="K17" s="2"/>
    </row>
    <row r="18" spans="1:11">
      <c r="A18" s="2"/>
      <c r="B18" s="2"/>
      <c r="C18" s="2"/>
      <c r="D18" s="2"/>
      <c r="E18" s="2" t="str">
        <f>IF(A18="","",$B$4*C18)</f>
        <v/>
      </c>
      <c r="F18" s="2" t="str">
        <f>IF(A18="","",B18*D18*$B$5/360)</f>
        <v/>
      </c>
      <c r="G18" s="2" t="str">
        <f>IF(A18="","",B18-E18+F18)</f>
        <v/>
      </c>
      <c r="H18" s="2"/>
      <c r="I18" s="2"/>
      <c r="J18" s="2"/>
      <c r="K18" s="2"/>
    </row>
    <row r="19" spans="1:11">
      <c r="A19" s="2"/>
      <c r="B19" s="2"/>
      <c r="C19" s="2"/>
      <c r="D19" s="2"/>
      <c r="E19" s="2" t="str">
        <f>IF(A19="","",$B$4*C19)</f>
        <v/>
      </c>
      <c r="F19" s="2" t="str">
        <f>IF(A19="","",B19*D19*$B$5/360)</f>
        <v/>
      </c>
      <c r="G19" s="2" t="str">
        <f>IF(A19="","",B19-E19+F19)</f>
        <v/>
      </c>
      <c r="H19" s="2"/>
      <c r="I19" s="2"/>
      <c r="J19" s="2"/>
      <c r="K19" s="2"/>
    </row>
    <row r="20" spans="1:11">
      <c r="A20" s="2"/>
      <c r="B20" s="2"/>
      <c r="C20" s="2"/>
      <c r="D20" s="2"/>
      <c r="E20" s="2" t="str">
        <f>IF(A20="","",$B$4*C20)</f>
        <v/>
      </c>
      <c r="F20" s="2" t="str">
        <f>IF(A20="","",B20*D20*$B$5/360)</f>
        <v/>
      </c>
      <c r="G20" s="2" t="str">
        <f>IF(A20="","",B20-E20+F20)</f>
        <v/>
      </c>
      <c r="H20" s="2"/>
      <c r="I20" s="2"/>
      <c r="J20" s="2"/>
      <c r="K20" s="2"/>
    </row>
    <row r="21" spans="1:11">
      <c r="A21" s="2"/>
      <c r="B21" s="2"/>
      <c r="C21" s="2"/>
      <c r="D21" s="2"/>
      <c r="E21" s="2" t="str">
        <f>IF(A21="","",$B$4*C21)</f>
        <v/>
      </c>
      <c r="F21" s="2" t="str">
        <f>IF(A21="","",B21*D21*$B$5/360)</f>
        <v/>
      </c>
      <c r="G21" s="2" t="str">
        <f>IF(A21="","",B21-E21+F21)</f>
        <v/>
      </c>
      <c r="H21" s="2"/>
      <c r="I21" s="2"/>
      <c r="J21" s="2"/>
      <c r="K21" s="2"/>
    </row>
    <row r="22" spans="1:11">
      <c r="A22" s="2"/>
      <c r="B22" s="2"/>
      <c r="C22" s="2"/>
      <c r="D22" s="2"/>
      <c r="E22" s="2" t="str">
        <f>IF(A22="","",$B$4*C22)</f>
        <v/>
      </c>
      <c r="F22" s="2" t="str">
        <f>IF(A22="","",B22*D22*$B$5/360)</f>
        <v/>
      </c>
      <c r="G22" s="2" t="str">
        <f>IF(A22="","",B22-E22+F22)</f>
        <v/>
      </c>
      <c r="H22" s="2"/>
      <c r="I22" s="2"/>
      <c r="J22" s="2"/>
      <c r="K22" s="2"/>
    </row>
    <row r="23" spans="1:11">
      <c r="A23" s="2"/>
      <c r="B23" s="2"/>
      <c r="C23" s="2"/>
      <c r="D23" s="2"/>
      <c r="E23" s="2" t="str">
        <f>IF(A23="","",$B$4*C23)</f>
        <v/>
      </c>
      <c r="F23" s="2" t="str">
        <f>IF(A23="","",B23*D23*$B$5/360)</f>
        <v/>
      </c>
      <c r="G23" s="2" t="str">
        <f>IF(A23="","",B23-E23+F23)</f>
        <v/>
      </c>
      <c r="H23" s="2"/>
      <c r="I23" s="2"/>
      <c r="J23" s="2"/>
      <c r="K23" s="2"/>
    </row>
    <row r="24" spans="1:11">
      <c r="A24" s="2"/>
      <c r="B24" s="2"/>
      <c r="C24" s="2"/>
      <c r="D24" s="2"/>
      <c r="E24" s="2" t="str">
        <f>IF(A24="","",$B$4*C24)</f>
        <v/>
      </c>
      <c r="F24" s="2" t="str">
        <f>IF(A24="","",B24*D24*$B$5/360)</f>
        <v/>
      </c>
      <c r="G24" s="2" t="str">
        <f>IF(A24="","",B24-E24+F24)</f>
        <v/>
      </c>
      <c r="H24" s="2"/>
      <c r="I24" s="2"/>
      <c r="J24" s="2"/>
      <c r="K24" s="2"/>
    </row>
    <row r="25" spans="1:11">
      <c r="A25" s="2"/>
      <c r="B25" s="2"/>
      <c r="C25" s="2"/>
      <c r="D25" s="2"/>
      <c r="E25" s="2" t="str">
        <f>IF(A25="","",$B$4*C25)</f>
        <v/>
      </c>
      <c r="F25" s="2" t="str">
        <f>IF(A25="","",B25*D25*$B$5/360)</f>
        <v/>
      </c>
      <c r="G25" s="2" t="str">
        <f>IF(A25="","",B25-E25+F25)</f>
        <v/>
      </c>
      <c r="H25" s="2"/>
      <c r="I25" s="2"/>
      <c r="J25" s="2"/>
      <c r="K25" s="2"/>
    </row>
    <row r="26" spans="1:11">
      <c r="A26" s="2"/>
      <c r="B26" s="2"/>
      <c r="C26" s="2"/>
      <c r="D26" s="2"/>
      <c r="E26" s="2" t="str">
        <f>IF(A26="","",$B$4*C26)</f>
        <v/>
      </c>
      <c r="F26" s="2" t="str">
        <f>IF(A26="","",B26*D26*$B$5/360)</f>
        <v/>
      </c>
      <c r="G26" s="2" t="str">
        <f>IF(A26="","",B26-E26+F26)</f>
        <v/>
      </c>
      <c r="H26" s="2"/>
      <c r="I26" s="2"/>
      <c r="J26" s="2"/>
      <c r="K26" s="2"/>
    </row>
    <row r="27" spans="1:11">
      <c r="A27" s="2"/>
      <c r="B27" s="2"/>
      <c r="C27" s="2"/>
      <c r="D27" s="2"/>
      <c r="E27" s="2" t="str">
        <f>IF(A27="","",$B$4*C27)</f>
        <v/>
      </c>
      <c r="F27" s="2" t="str">
        <f>IF(A27="","",B27*D27*$B$5/360)</f>
        <v/>
      </c>
      <c r="G27" s="2" t="str">
        <f>IF(A27="","",B27-E27+F27)</f>
        <v/>
      </c>
      <c r="H27" s="2"/>
      <c r="I27" s="2"/>
      <c r="J27" s="2"/>
      <c r="K27" s="2"/>
    </row>
    <row r="28" spans="1:11">
      <c r="A28" s="2"/>
      <c r="B28" s="2"/>
      <c r="C28" s="2"/>
      <c r="D28" s="2"/>
      <c r="E28" s="2" t="str">
        <f>IF(A28="","",$B$4*C28)</f>
        <v/>
      </c>
      <c r="F28" s="2" t="str">
        <f>IF(A28="","",B28*D28*$B$5/360)</f>
        <v/>
      </c>
      <c r="G28" s="2" t="str">
        <f>IF(A28="","",B28-E28+F28)</f>
        <v/>
      </c>
      <c r="H28" s="2"/>
      <c r="I28" s="2"/>
      <c r="J28" s="2"/>
      <c r="K2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2026-05-24T22:42:16Z</dcterms:created>
  <dcterms:modified xsi:type="dcterms:W3CDTF">2026-05-24T23:27:55Z</dcterms:modified>
  <cp:category/>
  <cp:contentStatus/>
</cp:coreProperties>
</file>